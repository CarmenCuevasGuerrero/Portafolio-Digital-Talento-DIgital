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ccgue\Downloads\"/>
    </mc:Choice>
  </mc:AlternateContent>
  <bookViews>
    <workbookView xWindow="0" yWindow="0" windowWidth="28800" windowHeight="12624" activeTab="3"/>
  </bookViews>
  <sheets>
    <sheet name="Ventas_limpias" sheetId="1" r:id="rId1"/>
    <sheet name="Análisis_Ventas" sheetId="2" r:id="rId2"/>
    <sheet name="Dashboard" sheetId="3" r:id="rId3"/>
    <sheet name="Conclusiones" sheetId="4" r:id="rId4"/>
  </sheets>
  <externalReferences>
    <externalReference r:id="rId5"/>
  </externalReferences>
  <calcPr calcId="152511"/>
  <pivotCaches>
    <pivotCache cacheId="0" r:id="rId6"/>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B5" i="2"/>
  <c r="B4" i="2"/>
  <c r="D3" i="2"/>
  <c r="B3" i="2"/>
  <c r="E2" i="2"/>
  <c r="D2" i="2"/>
  <c r="B2" i="2"/>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alcChain>
</file>

<file path=xl/sharedStrings.xml><?xml version="1.0" encoding="utf-8"?>
<sst xmlns="http://schemas.openxmlformats.org/spreadsheetml/2006/main" count="213" uniqueCount="105">
  <si>
    <t>ID_Transaccion</t>
  </si>
  <si>
    <t>Fecha</t>
  </si>
  <si>
    <t>Categoria</t>
  </si>
  <si>
    <t>Producto</t>
  </si>
  <si>
    <t>Precio</t>
  </si>
  <si>
    <t>Canal</t>
  </si>
  <si>
    <t>Region</t>
  </si>
  <si>
    <t>Clasificación</t>
  </si>
  <si>
    <t>VT001</t>
  </si>
  <si>
    <t>2024-10-01</t>
  </si>
  <si>
    <t>Electrónica</t>
  </si>
  <si>
    <t>Audífonos Bluetooth</t>
  </si>
  <si>
    <t>Web</t>
  </si>
  <si>
    <t>Metropolitana</t>
  </si>
  <si>
    <t>VT002</t>
  </si>
  <si>
    <t>Hogar</t>
  </si>
  <si>
    <t>Aspiradora Robot</t>
  </si>
  <si>
    <t>App</t>
  </si>
  <si>
    <t>Valparaíso</t>
  </si>
  <si>
    <t>VT003</t>
  </si>
  <si>
    <t>2024-10-02</t>
  </si>
  <si>
    <t>Moda</t>
  </si>
  <si>
    <t>Zapatillas Running</t>
  </si>
  <si>
    <t>No especificado</t>
  </si>
  <si>
    <t>VT004</t>
  </si>
  <si>
    <t>Deportes</t>
  </si>
  <si>
    <t>Pelota de Fútbol</t>
  </si>
  <si>
    <t>Biobío</t>
  </si>
  <si>
    <t>VT005</t>
  </si>
  <si>
    <t>2024-10-03</t>
  </si>
  <si>
    <t>Mouse Gaming</t>
  </si>
  <si>
    <t>VT006</t>
  </si>
  <si>
    <t>Juego de Sábanas</t>
  </si>
  <si>
    <t>VT007</t>
  </si>
  <si>
    <t>2024-10-04</t>
  </si>
  <si>
    <t>Chaqueta Invierno</t>
  </si>
  <si>
    <t>Araucanía</t>
  </si>
  <si>
    <t>VT008</t>
  </si>
  <si>
    <t>Bicicleta MTB</t>
  </si>
  <si>
    <t>VT009</t>
  </si>
  <si>
    <t>2024-10-05</t>
  </si>
  <si>
    <t>Smart TV 55"</t>
  </si>
  <si>
    <t>VT010</t>
  </si>
  <si>
    <t>Jeans Slim Fit</t>
  </si>
  <si>
    <t>VT011</t>
  </si>
  <si>
    <t>2024-10-06</t>
  </si>
  <si>
    <t>Microondas Digital</t>
  </si>
  <si>
    <t>Coquimbo</t>
  </si>
  <si>
    <t>VT012</t>
  </si>
  <si>
    <t>Pesas Ajustables</t>
  </si>
  <si>
    <t>VT013</t>
  </si>
  <si>
    <t>2024-10-07</t>
  </si>
  <si>
    <t>Tablet 10"</t>
  </si>
  <si>
    <t>VT014</t>
  </si>
  <si>
    <t>Cartera Cuero</t>
  </si>
  <si>
    <t>VT015</t>
  </si>
  <si>
    <t>2024-10-08</t>
  </si>
  <si>
    <t>Cafetera Express</t>
  </si>
  <si>
    <t>VT016</t>
  </si>
  <si>
    <t>Cuerda para Saltar</t>
  </si>
  <si>
    <t>VT017</t>
  </si>
  <si>
    <t>2024-10-09</t>
  </si>
  <si>
    <t>Cargador Inalámbrico</t>
  </si>
  <si>
    <t>VT018</t>
  </si>
  <si>
    <t>Reloj Deportivo</t>
  </si>
  <si>
    <t>VT019</t>
  </si>
  <si>
    <t>2024-10-10</t>
  </si>
  <si>
    <t>Set Ollas Acero</t>
  </si>
  <si>
    <t>VT020</t>
  </si>
  <si>
    <t>Colchoneta Yoga</t>
  </si>
  <si>
    <t>VT021</t>
  </si>
  <si>
    <t>2024-10-11</t>
  </si>
  <si>
    <t>Teclado Mecánico</t>
  </si>
  <si>
    <t>VT022</t>
  </si>
  <si>
    <t>Mochila Laptop</t>
  </si>
  <si>
    <t>VT023</t>
  </si>
  <si>
    <t>2024-10-12</t>
  </si>
  <si>
    <t>Ventilador Torre</t>
  </si>
  <si>
    <t>VT024</t>
  </si>
  <si>
    <t>Guantes Gimnasio</t>
  </si>
  <si>
    <t>VT025</t>
  </si>
  <si>
    <t>2024-10-13</t>
  </si>
  <si>
    <t>Parlante Bluetooth</t>
  </si>
  <si>
    <t>VT026</t>
  </si>
  <si>
    <t>Polera Deportiva</t>
  </si>
  <si>
    <t>VT027</t>
  </si>
  <si>
    <t>2024-10-14</t>
  </si>
  <si>
    <t>Plancha Vapor</t>
  </si>
  <si>
    <t>VT028</t>
  </si>
  <si>
    <t>Bolso Deporte</t>
  </si>
  <si>
    <t>VT029</t>
  </si>
  <si>
    <t>2024-10-15</t>
  </si>
  <si>
    <t>Webcam HD</t>
  </si>
  <si>
    <t>VT030</t>
  </si>
  <si>
    <t>Gorro Invierno</t>
  </si>
  <si>
    <t>Categoría</t>
  </si>
  <si>
    <t>Total Ventas</t>
  </si>
  <si>
    <t>Valor_promedio_compra</t>
  </si>
  <si>
    <t>Transacciones &gt; $50,000</t>
  </si>
  <si>
    <t>Etiquetas de fila</t>
  </si>
  <si>
    <t>Total general</t>
  </si>
  <si>
    <t>Suma de Precio</t>
  </si>
  <si>
    <t>Etiquetas de columna</t>
  </si>
  <si>
    <t>(Todas)</t>
  </si>
  <si>
    <t>Mes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</si>
</sst>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340A]#,##0"/>
  </numFmts>
  <fonts count="2" x14ac:knownFonts="1">
    <font>
      <sz val="11"/>
      <color theme="1"/>
      <name val="Calibri"/>
      <family val="2"/>
      <scheme val="minor"/>
    </font>
    <font>
      <sz val="12"/>
      <color theme="1"/>
      <name val="Calibri"/>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7">
    <xf numFmtId="0" fontId="0" fillId="0" borderId="0" xfId="0"/>
    <xf numFmtId="0" fontId="1" fillId="0" borderId="0" xfId="1" applyFont="1"/>
    <xf numFmtId="0" fontId="1" fillId="0" borderId="0" xfId="1" applyFont="1" applyFill="1"/>
    <xf numFmtId="0" fontId="1" fillId="0" borderId="0" xfId="1" applyFont="1" applyAlignment="1"/>
    <xf numFmtId="0" fontId="0" fillId="0" borderId="0" xfId="0" pivotButton="1"/>
    <xf numFmtId="0" fontId="0" fillId="0" borderId="0" xfId="0" applyAlignment="1">
      <alignment horizontal="left"/>
    </xf>
    <xf numFmtId="164" fontId="0" fillId="0" borderId="0" xfId="0" applyNumberFormat="1"/>
  </cellXfs>
  <cellStyles count="2">
    <cellStyle name="Normal" xfId="0" builtinId="0"/>
    <cellStyle name="Normal 2" xfId="1"/>
  </cellStyles>
  <dxfs count="11">
    <dxf>
      <font>
        <b val="0"/>
        <i val="0"/>
        <strike val="0"/>
        <condense val="0"/>
        <extend val="0"/>
        <outline val="0"/>
        <shadow val="0"/>
        <u val="none"/>
        <vertAlign val="baseline"/>
        <sz val="12"/>
        <color theme="1"/>
        <name val="Calibri"/>
        <scheme val="minor"/>
      </font>
      <numFmt numFmtId="0" formatCode="General"/>
    </dxf>
    <dxf>
      <font>
        <b val="0"/>
        <i val="0"/>
        <strike val="0"/>
        <condense val="0"/>
        <extend val="0"/>
        <outline val="0"/>
        <shadow val="0"/>
        <u val="none"/>
        <vertAlign val="baseline"/>
        <sz val="12"/>
        <color theme="1"/>
        <name val="Calibri"/>
        <scheme val="minor"/>
      </font>
      <numFmt numFmtId="0" formatCode="General"/>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[QuickShop_Analisis_Carmen Cuevas.xlsx]Dashboard!Tabla dinámica1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Gráfico</a:t>
            </a:r>
            <a:r>
              <a:rPr lang="es-MX" baseline="0"/>
              <a:t> comparativo de ventas según categoría.</a:t>
            </a:r>
            <a:endParaRPr lang="es-MX"/>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1"/>
          </a:solidFill>
          <a:ln>
            <a:noFill/>
          </a:ln>
          <a:effectLst/>
        </c:spPr>
        <c:dLbl>
          <c:idx val="0"/>
          <c:layout>
            <c:manualLayout>
              <c:x val="-2.4894907212167972E-3"/>
              <c:y val="1.9308720515895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1"/>
          </a:solidFill>
          <a:ln>
            <a:noFill/>
          </a:ln>
          <a:effectLst/>
        </c:spPr>
        <c:dLbl>
          <c:idx val="0"/>
          <c:layout>
            <c:manualLayout>
              <c:x val="9.9138653156249819E-3"/>
              <c:y val="-1.19231370913073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0507626053838118"/>
          <c:y val="0.1336534506034428"/>
          <c:w val="0.77925334534943957"/>
          <c:h val="0.77040667929753803"/>
        </c:manualLayout>
      </c:layout>
      <c:barChart>
        <c:barDir val="col"/>
        <c:grouping val="clustered"/>
        <c:varyColors val="0"/>
        <c:ser>
          <c:idx val="0"/>
          <c:order val="0"/>
          <c:tx>
            <c:strRef>
              <c:f>Dashboard!$B$3:$B$4</c:f>
              <c:strCache>
                <c:ptCount val="1"/>
                <c:pt idx="0">
                  <c:v>App</c:v>
                </c:pt>
              </c:strCache>
            </c:strRef>
          </c:tx>
          <c:spPr>
            <a:solidFill>
              <a:schemeClr val="accent1"/>
            </a:solidFill>
            <a:ln>
              <a:noFill/>
            </a:ln>
            <a:effectLst/>
          </c:spPr>
          <c:invertIfNegative val="0"/>
          <c:dPt>
            <c:idx val="2"/>
            <c:invertIfNegative val="0"/>
            <c:bubble3D val="0"/>
          </c:dPt>
          <c:dLbls>
            <c:dLbl>
              <c:idx val="2"/>
              <c:layout>
                <c:manualLayout>
                  <c:x val="-2.4894907212167972E-3"/>
                  <c:y val="1.930872051589571E-2"/>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Dashboard!$A$5:$A$9</c:f>
              <c:strCache>
                <c:ptCount val="4"/>
                <c:pt idx="0">
                  <c:v>Deportes</c:v>
                </c:pt>
                <c:pt idx="1">
                  <c:v>Electrónica</c:v>
                </c:pt>
                <c:pt idx="2">
                  <c:v>Hogar</c:v>
                </c:pt>
                <c:pt idx="3">
                  <c:v>Moda</c:v>
                </c:pt>
              </c:strCache>
            </c:strRef>
          </c:cat>
          <c:val>
            <c:numRef>
              <c:f>Dashboard!$B$5:$B$9</c:f>
              <c:numCache>
                <c:formatCode>[$$-340A]#,##0</c:formatCode>
                <c:ptCount val="4"/>
                <c:pt idx="0">
                  <c:v>445000</c:v>
                </c:pt>
                <c:pt idx="1">
                  <c:v>185000</c:v>
                </c:pt>
                <c:pt idx="2">
                  <c:v>326000</c:v>
                </c:pt>
                <c:pt idx="3">
                  <c:v>208000</c:v>
                </c:pt>
              </c:numCache>
            </c:numRef>
          </c:val>
        </c:ser>
        <c:ser>
          <c:idx val="1"/>
          <c:order val="1"/>
          <c:tx>
            <c:strRef>
              <c:f>Dashboard!$C$3:$C$4</c:f>
              <c:strCache>
                <c:ptCount val="1"/>
                <c:pt idx="0">
                  <c:v>Web</c:v>
                </c:pt>
              </c:strCache>
            </c:strRef>
          </c:tx>
          <c:spPr>
            <a:solidFill>
              <a:schemeClr val="accent2"/>
            </a:solidFill>
            <a:ln>
              <a:noFill/>
            </a:ln>
            <a:effectLst/>
          </c:spPr>
          <c:invertIfNegative val="0"/>
          <c:dPt>
            <c:idx val="2"/>
            <c:invertIfNegative val="0"/>
            <c:bubble3D val="0"/>
          </c:dPt>
          <c:dLbls>
            <c:dLbl>
              <c:idx val="2"/>
              <c:layout>
                <c:manualLayout>
                  <c:x val="9.9138653156249819E-3"/>
                  <c:y val="-1.1923137091307363E-2"/>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Dashboard!$A$5:$A$9</c:f>
              <c:strCache>
                <c:ptCount val="4"/>
                <c:pt idx="0">
                  <c:v>Deportes</c:v>
                </c:pt>
                <c:pt idx="1">
                  <c:v>Electrónica</c:v>
                </c:pt>
                <c:pt idx="2">
                  <c:v>Hogar</c:v>
                </c:pt>
                <c:pt idx="3">
                  <c:v>Moda</c:v>
                </c:pt>
              </c:strCache>
            </c:strRef>
          </c:cat>
          <c:val>
            <c:numRef>
              <c:f>Dashboard!$C$5:$C$9</c:f>
              <c:numCache>
                <c:formatCode>[$$-340A]#,##0</c:formatCode>
                <c:ptCount val="4"/>
                <c:pt idx="0">
                  <c:v>78000</c:v>
                </c:pt>
                <c:pt idx="1">
                  <c:v>750000</c:v>
                </c:pt>
                <c:pt idx="2">
                  <c:v>323000</c:v>
                </c:pt>
                <c:pt idx="3">
                  <c:v>270000</c:v>
                </c:pt>
              </c:numCache>
            </c:numRef>
          </c:val>
        </c:ser>
        <c:dLbls>
          <c:dLblPos val="outEnd"/>
          <c:showLegendKey val="0"/>
          <c:showVal val="1"/>
          <c:showCatName val="0"/>
          <c:showSerName val="0"/>
          <c:showPercent val="0"/>
          <c:showBubbleSize val="0"/>
        </c:dLbls>
        <c:gapWidth val="219"/>
        <c:overlap val="-27"/>
        <c:axId val="-1194953696"/>
        <c:axId val="-1194959680"/>
      </c:barChart>
      <c:catAx>
        <c:axId val="-11949536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194959680"/>
        <c:crosses val="autoZero"/>
        <c:auto val="1"/>
        <c:lblAlgn val="ctr"/>
        <c:lblOffset val="100"/>
        <c:noMultiLvlLbl val="0"/>
      </c:catAx>
      <c:valAx>
        <c:axId val="-1194959680"/>
        <c:scaling>
          <c:orientation val="minMax"/>
        </c:scaling>
        <c:delete val="0"/>
        <c:axPos val="l"/>
        <c:majorGridlines>
          <c:spPr>
            <a:ln w="9525" cap="flat" cmpd="sng" algn="ctr">
              <a:solidFill>
                <a:schemeClr val="tx1">
                  <a:lumMod val="15000"/>
                  <a:lumOff val="85000"/>
                </a:schemeClr>
              </a:solidFill>
              <a:round/>
            </a:ln>
            <a:effectLst/>
          </c:spPr>
        </c:majorGridlines>
        <c:numFmt formatCode="[$$-340A]#,##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1949536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11430</xdr:colOff>
      <xdr:row>1</xdr:row>
      <xdr:rowOff>15240</xdr:rowOff>
    </xdr:from>
    <xdr:to>
      <xdr:col>11</xdr:col>
      <xdr:colOff>449580</xdr:colOff>
      <xdr:row>19</xdr:row>
      <xdr:rowOff>175260</xdr:rowOff>
    </xdr:to>
    <xdr:graphicFrame macro="">
      <xdr:nvGraphicFramePr>
        <xdr:cNvPr id="3" name="Gráfico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30480</xdr:rowOff>
    </xdr:from>
    <xdr:to>
      <xdr:col>13</xdr:col>
      <xdr:colOff>7620</xdr:colOff>
      <xdr:row>33</xdr:row>
      <xdr:rowOff>152400</xdr:rowOff>
    </xdr:to>
    <xdr:sp macro="" textlink="">
      <xdr:nvSpPr>
        <xdr:cNvPr id="2" name="CuadroTexto 1"/>
        <xdr:cNvSpPr txBox="1"/>
      </xdr:nvSpPr>
      <xdr:spPr>
        <a:xfrm>
          <a:off x="792480" y="213360"/>
          <a:ext cx="9517380" cy="59740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MX" sz="1100" b="0" i="0" u="none" strike="noStrike" baseline="0" smtClean="0">
            <a:solidFill>
              <a:schemeClr val="dk1"/>
            </a:solidFill>
            <a:latin typeface="+mn-lt"/>
            <a:ea typeface="+mn-ea"/>
            <a:cs typeface="+mn-cs"/>
          </a:endParaRPr>
        </a:p>
        <a:p>
          <a:r>
            <a:rPr lang="es-MX" sz="1200" b="1" i="0" u="none" strike="noStrike" baseline="0" smtClean="0">
              <a:solidFill>
                <a:schemeClr val="dk1"/>
              </a:solidFill>
              <a:latin typeface="+mn-lt"/>
              <a:ea typeface="+mn-ea"/>
              <a:cs typeface="+mn-cs"/>
            </a:rPr>
            <a:t>-  ¿Qué categoría genera mayores ingresos y por qué canal? </a:t>
          </a:r>
        </a:p>
        <a:p>
          <a:endParaRPr lang="es-MX" sz="1200" b="0" i="0" u="none" strike="noStrike" baseline="0" smtClean="0">
            <a:solidFill>
              <a:schemeClr val="dk1"/>
            </a:solidFill>
            <a:latin typeface="+mn-lt"/>
            <a:ea typeface="+mn-ea"/>
            <a:cs typeface="+mn-cs"/>
          </a:endParaRPr>
        </a:p>
        <a:p>
          <a:r>
            <a:rPr lang="es-MX" sz="1100" b="0" i="0" u="none" strike="noStrike" baseline="0" smtClean="0">
              <a:solidFill>
                <a:schemeClr val="dk1"/>
              </a:solidFill>
              <a:latin typeface="+mn-lt"/>
              <a:ea typeface="+mn-ea"/>
              <a:cs typeface="+mn-cs"/>
            </a:rPr>
            <a:t>La categoría que genera mayores ingresos en el negocio es Electrónica, a través de su canal Web con un total de $750.000 en ventas.</a:t>
          </a:r>
        </a:p>
        <a:p>
          <a:endParaRPr lang="es-MX" sz="1100" b="0" i="0" u="none" strike="noStrike" baseline="0" smtClean="0">
            <a:solidFill>
              <a:schemeClr val="dk1"/>
            </a:solidFill>
            <a:latin typeface="+mn-lt"/>
            <a:ea typeface="+mn-ea"/>
            <a:cs typeface="+mn-cs"/>
          </a:endParaRPr>
        </a:p>
        <a:p>
          <a:r>
            <a:rPr lang="es-MX" sz="1200" b="1" i="0" u="none" strike="noStrike" baseline="0" smtClean="0">
              <a:solidFill>
                <a:schemeClr val="dk1"/>
              </a:solidFill>
              <a:latin typeface="+mn-lt"/>
              <a:ea typeface="+mn-ea"/>
              <a:cs typeface="+mn-cs"/>
            </a:rPr>
            <a:t>-  ¿Qué patrón observas en los tickets de compra entre Web y App? </a:t>
          </a:r>
        </a:p>
        <a:p>
          <a:endParaRPr lang="es-MX" sz="1200" b="0" i="0" u="none" strike="noStrike" baseline="0" smtClean="0">
            <a:solidFill>
              <a:schemeClr val="dk1"/>
            </a:solidFill>
            <a:latin typeface="+mn-lt"/>
            <a:ea typeface="+mn-ea"/>
            <a:cs typeface="+mn-cs"/>
          </a:endParaRPr>
        </a:p>
        <a:p>
          <a:r>
            <a:rPr lang="es-MX" sz="1100" b="0" i="0" u="none" strike="noStrike" baseline="0" smtClean="0">
              <a:solidFill>
                <a:schemeClr val="dk1"/>
              </a:solidFill>
              <a:latin typeface="+mn-lt"/>
              <a:ea typeface="+mn-ea"/>
              <a:cs typeface="+mn-cs"/>
            </a:rPr>
            <a:t>En Web se puede observar comptas de mayor volumen, como es en la categoría de electrónica, mientras que a través de la App la categoría de deportes es la que lidera las ventas. Si miramos ambas categorías, se podría mencionar que aquellas que requieren mayor análisis por el costo se realizan a través de la Web, mientras que aquellas que no se realizan a través de la App.</a:t>
          </a:r>
        </a:p>
        <a:p>
          <a:endParaRPr lang="es-MX" sz="1200" b="0" i="0" u="none" strike="noStrike" baseline="0" smtClean="0">
            <a:solidFill>
              <a:schemeClr val="dk1"/>
            </a:solidFill>
            <a:latin typeface="+mn-lt"/>
            <a:ea typeface="+mn-ea"/>
            <a:cs typeface="+mn-cs"/>
          </a:endParaRPr>
        </a:p>
        <a:p>
          <a:r>
            <a:rPr lang="es-MX" sz="1200" b="1" i="0" u="none" strike="noStrike" baseline="0" smtClean="0">
              <a:solidFill>
                <a:schemeClr val="dk1"/>
              </a:solidFill>
              <a:latin typeface="+mn-lt"/>
              <a:ea typeface="+mn-ea"/>
              <a:cs typeface="+mn-cs"/>
            </a:rPr>
            <a:t>-  ¿Qué problemas de calidad de datos encontraste y cómo los resolviste? </a:t>
          </a:r>
        </a:p>
        <a:p>
          <a:endParaRPr lang="es-MX" sz="1100" b="0" i="0" u="none" strike="noStrike" baseline="0" smtClean="0">
            <a:solidFill>
              <a:schemeClr val="dk1"/>
            </a:solidFill>
            <a:latin typeface="+mn-lt"/>
            <a:ea typeface="+mn-ea"/>
            <a:cs typeface="+mn-cs"/>
          </a:endParaRPr>
        </a:p>
        <a:p>
          <a:r>
            <a:rPr lang="es-MX" sz="1100" b="0" i="0" u="none" strike="noStrike" baseline="0" smtClean="0">
              <a:solidFill>
                <a:schemeClr val="dk1"/>
              </a:solidFill>
              <a:latin typeface="+mn-lt"/>
              <a:ea typeface="+mn-ea"/>
              <a:cs typeface="+mn-cs"/>
            </a:rPr>
            <a:t>Se identificaron tres problemas principales en la calidad de los datos.</a:t>
          </a:r>
        </a:p>
        <a:p>
          <a:r>
            <a:rPr lang="es-MX" sz="1100" b="0" i="0" u="none" strike="noStrike" baseline="0" smtClean="0">
              <a:solidFill>
                <a:schemeClr val="dk1"/>
              </a:solidFill>
              <a:latin typeface="+mn-lt"/>
              <a:ea typeface="+mn-ea"/>
              <a:cs typeface="+mn-cs"/>
            </a:rPr>
            <a:t>1) Duplicados en las ventas ID. Se realizó eliminación de estos a través de quitar duplicados.</a:t>
          </a:r>
        </a:p>
        <a:p>
          <a:r>
            <a:rPr lang="es-MX" sz="1100" b="0" i="0" u="none" strike="noStrike" baseline="0" smtClean="0">
              <a:solidFill>
                <a:schemeClr val="dk1"/>
              </a:solidFill>
              <a:latin typeface="+mn-lt"/>
              <a:ea typeface="+mn-ea"/>
              <a:cs typeface="+mn-cs"/>
            </a:rPr>
            <a:t>2) Espacios ocultos. Correccion de aquellas cadenas de textos que tenían espacios adicionales como "Moda ". Se realizó a través  de su limpieza y con ello se aseguró que los datos estuvieran precisos para su posterior uso.</a:t>
          </a:r>
        </a:p>
        <a:p>
          <a:r>
            <a:rPr lang="es-MX" sz="1100" b="0" i="0" u="none" strike="noStrike" baseline="0" smtClean="0">
              <a:solidFill>
                <a:schemeClr val="dk1"/>
              </a:solidFill>
              <a:latin typeface="+mn-lt"/>
              <a:ea typeface="+mn-ea"/>
              <a:cs typeface="+mn-cs"/>
            </a:rPr>
            <a:t>3) Estandarización de nombres en Categoría y Canal. </a:t>
          </a:r>
        </a:p>
        <a:p>
          <a:r>
            <a:rPr lang="es-MX" sz="1100" b="0" i="0" u="none" strike="noStrike" baseline="0" smtClean="0">
              <a:solidFill>
                <a:schemeClr val="dk1"/>
              </a:solidFill>
              <a:latin typeface="+mn-lt"/>
              <a:ea typeface="+mn-ea"/>
              <a:cs typeface="+mn-cs"/>
            </a:rPr>
            <a:t>4) Se reemplazó valores faltantes en columna región a "No especificados"</a:t>
          </a:r>
        </a:p>
        <a:p>
          <a:r>
            <a:rPr lang="es-MX" sz="1100" b="0" i="0" u="none" strike="noStrike" baseline="0" smtClean="0">
              <a:solidFill>
                <a:schemeClr val="dk1"/>
              </a:solidFill>
              <a:latin typeface="+mn-lt"/>
              <a:ea typeface="+mn-ea"/>
              <a:cs typeface="+mn-cs"/>
            </a:rPr>
            <a:t>5) Como se solicitó que columna Canal sólo tuvieran valores "Web" y "App", el valor "Movil" fue modificado a "App", ya que se consideró que los usuarios en sus dispositivos móviles usan las aplicaciones con mayor frecuencia que la página web de la tienda.</a:t>
          </a:r>
        </a:p>
        <a:p>
          <a:endParaRPr lang="es-MX" sz="1100" b="0" i="0" u="none" strike="noStrike" baseline="0" smtClean="0">
            <a:solidFill>
              <a:schemeClr val="dk1"/>
            </a:solidFill>
            <a:latin typeface="+mn-lt"/>
            <a:ea typeface="+mn-ea"/>
            <a:cs typeface="+mn-cs"/>
          </a:endParaRPr>
        </a:p>
        <a:p>
          <a:endParaRPr lang="es-MX" sz="1100" b="0" i="0" u="none" strike="noStrike" baseline="0" smtClean="0">
            <a:solidFill>
              <a:schemeClr val="dk1"/>
            </a:solidFill>
            <a:latin typeface="+mn-lt"/>
            <a:ea typeface="+mn-ea"/>
            <a:cs typeface="+mn-cs"/>
          </a:endParaRPr>
        </a:p>
        <a:p>
          <a:r>
            <a:rPr lang="es-MX" sz="1200" b="1" i="0" u="none" strike="noStrike" baseline="0" smtClean="0">
              <a:solidFill>
                <a:schemeClr val="dk1"/>
              </a:solidFill>
              <a:latin typeface="+mn-lt"/>
              <a:ea typeface="+mn-ea"/>
              <a:cs typeface="+mn-cs"/>
            </a:rPr>
            <a:t>- Propón 2 recomendaciones basadas en datos para aumentar las ventas. </a:t>
          </a:r>
        </a:p>
        <a:p>
          <a:endParaRPr lang="es-MX" sz="1200" b="0" i="0" u="none" strike="noStrike" baseline="0" smtClean="0">
            <a:solidFill>
              <a:schemeClr val="dk1"/>
            </a:solidFill>
            <a:latin typeface="+mn-lt"/>
            <a:ea typeface="+mn-ea"/>
            <a:cs typeface="+mn-cs"/>
          </a:endParaRPr>
        </a:p>
        <a:p>
          <a:r>
            <a:rPr lang="es-MX" sz="1100" b="0" i="0" u="none" strike="noStrike" baseline="0" smtClean="0">
              <a:solidFill>
                <a:schemeClr val="dk1"/>
              </a:solidFill>
              <a:latin typeface="+mn-lt"/>
              <a:ea typeface="+mn-ea"/>
              <a:cs typeface="+mn-cs"/>
            </a:rPr>
            <a:t>1) Crear campañas a través de las App o correos promocionales que incentiven la frecuencia de ventas en la categoría Moda u Hogar, que son las que mantienen un presencia más parejas entre ambas plataformas.</a:t>
          </a:r>
        </a:p>
        <a:p>
          <a:endParaRPr lang="es-MX" sz="1100" b="0" i="0" u="none" strike="noStrike" baseline="0" smtClean="0">
            <a:solidFill>
              <a:schemeClr val="dk1"/>
            </a:solidFill>
            <a:latin typeface="+mn-lt"/>
            <a:ea typeface="+mn-ea"/>
            <a:cs typeface="+mn-cs"/>
          </a:endParaRPr>
        </a:p>
        <a:p>
          <a:r>
            <a:rPr lang="es-MX" sz="1100" b="0" i="0" u="none" strike="noStrike" baseline="0" smtClean="0">
              <a:solidFill>
                <a:schemeClr val="dk1"/>
              </a:solidFill>
              <a:latin typeface="+mn-lt"/>
              <a:ea typeface="+mn-ea"/>
              <a:cs typeface="+mn-cs"/>
            </a:rPr>
            <a:t>2) Potenciar las ventas de la categoría electrónica a través de mayor y diversificación de financiamiento, con ello buscamos que el cliente tenga mayor posibilidades de generar la transacción y reduce el porcentaje de deuda del cliente.</a:t>
          </a:r>
        </a:p>
        <a:p>
          <a:endParaRPr lang="es-MX" sz="1100" b="0" i="0" u="none" strike="noStrike" baseline="0" smtClean="0">
            <a:solidFill>
              <a:schemeClr val="dk1"/>
            </a:solidFill>
            <a:latin typeface="+mn-lt"/>
            <a:ea typeface="+mn-ea"/>
            <a:cs typeface="+mn-cs"/>
          </a:endParaRPr>
        </a:p>
        <a:p>
          <a:r>
            <a:rPr lang="es-MX" sz="1100" b="0" i="0" u="none" strike="noStrike" baseline="0" smtClean="0">
              <a:solidFill>
                <a:schemeClr val="dk1"/>
              </a:solidFill>
              <a:latin typeface="+mn-lt"/>
              <a:ea typeface="+mn-ea"/>
              <a:cs typeface="+mn-cs"/>
            </a:rPr>
            <a:t>3) Aumentar el valor de los ticket promedio de la categoría Electrónica, a través de la venta cruzada. Al agregar productos complementarios relacionados con la compra buscamos que el cliente considere aumentar el valor de su compra final.</a:t>
          </a:r>
        </a:p>
        <a:p>
          <a:endParaRPr lang="es-MX" sz="1100" b="0" i="0" u="none" strike="noStrike" baseline="0" smtClean="0">
            <a:solidFill>
              <a:schemeClr val="dk1"/>
            </a:solidFill>
            <a:latin typeface="+mn-lt"/>
            <a:ea typeface="+mn-ea"/>
            <a:cs typeface="+mn-cs"/>
          </a:endParaRPr>
        </a:p>
        <a:p>
          <a:endParaRPr lang="es-MX" sz="1100" b="0" i="0" u="none" strike="noStrike" baseline="0" smtClean="0">
            <a:solidFill>
              <a:schemeClr val="dk1"/>
            </a:solidFill>
            <a:latin typeface="+mn-lt"/>
            <a:ea typeface="+mn-ea"/>
            <a:cs typeface="+mn-cs"/>
          </a:endParaRPr>
        </a:p>
        <a:p>
          <a:endParaRPr lang="es-MX" sz="1200" b="0" i="0" u="none" strike="noStrike" baseline="0" smtClean="0">
            <a:solidFill>
              <a:schemeClr val="dk1"/>
            </a:solidFill>
            <a:latin typeface="+mn-lt"/>
            <a:ea typeface="+mn-ea"/>
            <a:cs typeface="+mn-cs"/>
          </a:endParaRPr>
        </a:p>
        <a:p>
          <a:endParaRPr lang="es-MX" sz="1100" b="0" i="0" u="none" strike="noStrike" baseline="0" smtClean="0">
            <a:solidFill>
              <a:schemeClr val="dk1"/>
            </a:solidFill>
            <a:latin typeface="+mn-lt"/>
            <a:ea typeface="+mn-ea"/>
            <a:cs typeface="+mn-cs"/>
          </a:endParaRPr>
        </a:p>
        <a:p>
          <a:endParaRPr lang="es-MX" sz="1100" b="0" i="0" u="none" strike="noStrike" baseline="0" smtClean="0">
            <a:solidFill>
              <a:schemeClr val="dk1"/>
            </a:solidFill>
            <a:latin typeface="+mn-lt"/>
            <a:ea typeface="+mn-ea"/>
            <a:cs typeface="+mn-cs"/>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QuickShop_Analisis_Carmen%20Cuevas%20Guerrer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entas_limpias"/>
      <sheetName val="Análisis_Ventas"/>
      <sheetName val="Dashboard"/>
    </sheetNames>
    <sheetDataSet>
      <sheetData sheetId="0">
        <row r="1">
          <cell r="C1" t="str">
            <v>Categoria</v>
          </cell>
          <cell r="E1" t="str">
            <v>Precio</v>
          </cell>
          <cell r="F1" t="str">
            <v>Canal</v>
          </cell>
        </row>
        <row r="2">
          <cell r="C2" t="str">
            <v>Electrónica</v>
          </cell>
          <cell r="E2">
            <v>45000</v>
          </cell>
          <cell r="F2" t="str">
            <v>Web</v>
          </cell>
        </row>
        <row r="3">
          <cell r="C3" t="str">
            <v>Hogar</v>
          </cell>
          <cell r="E3">
            <v>189000</v>
          </cell>
          <cell r="F3" t="str">
            <v>App</v>
          </cell>
        </row>
        <row r="4">
          <cell r="C4" t="str">
            <v>Moda</v>
          </cell>
          <cell r="E4">
            <v>65000</v>
          </cell>
          <cell r="F4" t="str">
            <v>Web</v>
          </cell>
        </row>
        <row r="5">
          <cell r="C5" t="str">
            <v>Deportes</v>
          </cell>
          <cell r="E5">
            <v>25000</v>
          </cell>
          <cell r="F5" t="str">
            <v>App</v>
          </cell>
        </row>
        <row r="6">
          <cell r="C6" t="str">
            <v>Electrónica</v>
          </cell>
          <cell r="E6">
            <v>38000</v>
          </cell>
          <cell r="F6" t="str">
            <v>Web</v>
          </cell>
        </row>
        <row r="7">
          <cell r="C7" t="str">
            <v>Hogar</v>
          </cell>
          <cell r="E7">
            <v>42000</v>
          </cell>
          <cell r="F7" t="str">
            <v>App</v>
          </cell>
        </row>
        <row r="8">
          <cell r="C8" t="str">
            <v>Moda</v>
          </cell>
          <cell r="E8">
            <v>95000</v>
          </cell>
          <cell r="F8" t="str">
            <v>Web</v>
          </cell>
        </row>
        <row r="9">
          <cell r="C9" t="str">
            <v>Deportes</v>
          </cell>
          <cell r="E9">
            <v>320000</v>
          </cell>
          <cell r="F9" t="str">
            <v>App</v>
          </cell>
        </row>
        <row r="10">
          <cell r="C10" t="str">
            <v>Electrónica</v>
          </cell>
          <cell r="E10">
            <v>450000</v>
          </cell>
          <cell r="F10" t="str">
            <v>Web</v>
          </cell>
        </row>
        <row r="11">
          <cell r="C11" t="str">
            <v>Moda</v>
          </cell>
          <cell r="E11">
            <v>52000</v>
          </cell>
          <cell r="F11" t="str">
            <v>App</v>
          </cell>
        </row>
        <row r="12">
          <cell r="C12" t="str">
            <v xml:space="preserve">Hogar </v>
          </cell>
          <cell r="E12">
            <v>85000</v>
          </cell>
          <cell r="F12" t="str">
            <v>Web</v>
          </cell>
        </row>
        <row r="13">
          <cell r="C13" t="str">
            <v>Deportes</v>
          </cell>
          <cell r="E13">
            <v>78000</v>
          </cell>
          <cell r="F13" t="str">
            <v>Web</v>
          </cell>
        </row>
        <row r="14">
          <cell r="C14" t="str">
            <v>Electrónica</v>
          </cell>
          <cell r="E14">
            <v>185000</v>
          </cell>
          <cell r="F14" t="str">
            <v>App</v>
          </cell>
        </row>
        <row r="15">
          <cell r="C15" t="str">
            <v>Moda</v>
          </cell>
          <cell r="E15">
            <v>48000</v>
          </cell>
          <cell r="F15" t="str">
            <v>App</v>
          </cell>
        </row>
        <row r="16">
          <cell r="C16" t="str">
            <v>Hogar</v>
          </cell>
          <cell r="E16">
            <v>125000</v>
          </cell>
          <cell r="F16" t="str">
            <v>Web</v>
          </cell>
        </row>
        <row r="17">
          <cell r="C17" t="str">
            <v>Deportes</v>
          </cell>
          <cell r="E17">
            <v>12000</v>
          </cell>
          <cell r="F17" t="str">
            <v>App</v>
          </cell>
        </row>
        <row r="18">
          <cell r="C18" t="str">
            <v>Electrónica</v>
          </cell>
          <cell r="E18">
            <v>28000</v>
          </cell>
          <cell r="F18" t="str">
            <v>Web</v>
          </cell>
        </row>
        <row r="19">
          <cell r="C19" t="str">
            <v>Moda</v>
          </cell>
          <cell r="E19">
            <v>110000</v>
          </cell>
          <cell r="F19" t="str">
            <v>Web</v>
          </cell>
        </row>
        <row r="20">
          <cell r="C20" t="str">
            <v>Hogar</v>
          </cell>
          <cell r="E20">
            <v>95000</v>
          </cell>
          <cell r="F20" t="str">
            <v>App</v>
          </cell>
        </row>
        <row r="21">
          <cell r="C21" t="str">
            <v xml:space="preserve">Deportes </v>
          </cell>
          <cell r="E21">
            <v>32000</v>
          </cell>
          <cell r="F21" t="str">
            <v>App</v>
          </cell>
        </row>
        <row r="22">
          <cell r="C22" t="str">
            <v>Electrónica</v>
          </cell>
          <cell r="E22">
            <v>72000</v>
          </cell>
          <cell r="F22" t="str">
            <v>Web</v>
          </cell>
        </row>
        <row r="23">
          <cell r="C23" t="str">
            <v>Moda</v>
          </cell>
          <cell r="E23">
            <v>58000</v>
          </cell>
          <cell r="F23" t="str">
            <v>App</v>
          </cell>
        </row>
        <row r="24">
          <cell r="C24" t="str">
            <v>Hogar</v>
          </cell>
          <cell r="E24">
            <v>68000</v>
          </cell>
          <cell r="F24" t="str">
            <v>Web</v>
          </cell>
        </row>
        <row r="25">
          <cell r="C25" t="str">
            <v>Deportes</v>
          </cell>
          <cell r="E25">
            <v>18000</v>
          </cell>
          <cell r="F25" t="str">
            <v>App</v>
          </cell>
        </row>
        <row r="26">
          <cell r="C26" t="str">
            <v>Electrónica</v>
          </cell>
          <cell r="E26">
            <v>55000</v>
          </cell>
          <cell r="F26" t="str">
            <v>Web</v>
          </cell>
        </row>
        <row r="27">
          <cell r="C27" t="str">
            <v>Moda</v>
          </cell>
          <cell r="E27">
            <v>28000</v>
          </cell>
          <cell r="F27" t="str">
            <v>App</v>
          </cell>
        </row>
        <row r="28">
          <cell r="C28" t="str">
            <v>Hogar</v>
          </cell>
          <cell r="E28">
            <v>45000</v>
          </cell>
          <cell r="F28" t="str">
            <v>Web</v>
          </cell>
        </row>
        <row r="29">
          <cell r="C29" t="str">
            <v>Deportes</v>
          </cell>
          <cell r="E29">
            <v>38000</v>
          </cell>
          <cell r="F29" t="str">
            <v>App</v>
          </cell>
        </row>
        <row r="30">
          <cell r="C30" t="str">
            <v>Electrónica</v>
          </cell>
          <cell r="E30">
            <v>62000</v>
          </cell>
          <cell r="F30" t="str">
            <v>Web</v>
          </cell>
        </row>
        <row r="31">
          <cell r="C31" t="str">
            <v>Moda</v>
          </cell>
          <cell r="E31">
            <v>22000</v>
          </cell>
          <cell r="F31" t="str">
            <v>App</v>
          </cell>
        </row>
      </sheetData>
      <sheetData sheetId="1" refreshError="1"/>
      <sheetData sheetId="2"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Carmen Cuevas" refreshedDate="46267.047392245368" createdVersion="5" refreshedVersion="5" minRefreshableVersion="3" recordCount="30">
  <cacheSource type="worksheet">
    <worksheetSource name="Tabla2"/>
  </cacheSource>
  <cacheFields count="9">
    <cacheField name="ID_Transaccion" numFmtId="0">
      <sharedItems/>
    </cacheField>
    <cacheField name="Fecha" numFmtId="0">
      <sharedItems/>
    </cacheField>
    <cacheField name="Categoria" numFmtId="0">
      <sharedItems count="6">
        <s v="Electrónica"/>
        <s v="Hogar"/>
        <s v="Moda"/>
        <s v="Deportes"/>
        <s v="Deportes " u="1"/>
        <s v="Hogar " u="1"/>
      </sharedItems>
    </cacheField>
    <cacheField name="Producto" numFmtId="0">
      <sharedItems/>
    </cacheField>
    <cacheField name="Precio" numFmtId="0">
      <sharedItems containsSemiMixedTypes="0" containsString="0" containsNumber="1" containsInteger="1" minValue="12000" maxValue="450000"/>
    </cacheField>
    <cacheField name="Canal" numFmtId="0">
      <sharedItems count="2">
        <s v="Web"/>
        <s v="App"/>
      </sharedItems>
    </cacheField>
    <cacheField name="Region" numFmtId="0">
      <sharedItems/>
    </cacheField>
    <cacheField name="Clasificación" numFmtId="0">
      <sharedItems/>
    </cacheField>
    <cacheField name="Mes" numFmtId="0">
      <sharedItems count="1">
        <s v="octubr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0">
  <r>
    <s v="VT001"/>
    <s v="2024-10-01"/>
    <x v="0"/>
    <s v="Audífonos Bluetooth"/>
    <n v="45000"/>
    <x v="0"/>
    <s v="Metropolitana"/>
    <s v="Media"/>
    <x v="0"/>
  </r>
  <r>
    <s v="VT002"/>
    <s v="2024-10-01"/>
    <x v="1"/>
    <s v="Aspiradora Robot"/>
    <n v="189000"/>
    <x v="1"/>
    <s v="Valparaíso"/>
    <s v="Alta"/>
    <x v="0"/>
  </r>
  <r>
    <s v="VT003"/>
    <s v="2024-10-02"/>
    <x v="2"/>
    <s v="Zapatillas Running"/>
    <n v="65000"/>
    <x v="0"/>
    <s v="No especificado"/>
    <s v="Media"/>
    <x v="0"/>
  </r>
  <r>
    <s v="VT004"/>
    <s v="2024-10-02"/>
    <x v="3"/>
    <s v="Pelota de Fútbol"/>
    <n v="25000"/>
    <x v="1"/>
    <s v="Biobío"/>
    <s v="baja"/>
    <x v="0"/>
  </r>
  <r>
    <s v="VT005"/>
    <s v="2024-10-03"/>
    <x v="0"/>
    <s v="Mouse Gaming"/>
    <n v="38000"/>
    <x v="0"/>
    <s v="Metropolitana"/>
    <s v="Media"/>
    <x v="0"/>
  </r>
  <r>
    <s v="VT006"/>
    <s v="2024-10-03"/>
    <x v="1"/>
    <s v="Juego de Sábanas"/>
    <n v="42000"/>
    <x v="1"/>
    <s v="No especificado"/>
    <s v="Media"/>
    <x v="0"/>
  </r>
  <r>
    <s v="VT007"/>
    <s v="2024-10-04"/>
    <x v="2"/>
    <s v="Chaqueta Invierno"/>
    <n v="95000"/>
    <x v="0"/>
    <s v="Araucanía"/>
    <s v="Alta"/>
    <x v="0"/>
  </r>
  <r>
    <s v="VT008"/>
    <s v="2024-10-04"/>
    <x v="3"/>
    <s v="Bicicleta MTB"/>
    <n v="320000"/>
    <x v="1"/>
    <s v="Metropolitana"/>
    <s v="Alta"/>
    <x v="0"/>
  </r>
  <r>
    <s v="VT009"/>
    <s v="2024-10-05"/>
    <x v="0"/>
    <s v="Smart TV 55&quot;"/>
    <n v="450000"/>
    <x v="0"/>
    <s v="Valparaíso"/>
    <s v="Alta"/>
    <x v="0"/>
  </r>
  <r>
    <s v="VT010"/>
    <s v="2024-10-05"/>
    <x v="2"/>
    <s v="Jeans Slim Fit"/>
    <n v="52000"/>
    <x v="1"/>
    <s v="No especificado"/>
    <s v="Media"/>
    <x v="0"/>
  </r>
  <r>
    <s v="VT011"/>
    <s v="2024-10-06"/>
    <x v="1"/>
    <s v="Microondas Digital"/>
    <n v="85000"/>
    <x v="0"/>
    <s v="Coquimbo"/>
    <s v="Alta"/>
    <x v="0"/>
  </r>
  <r>
    <s v="VT012"/>
    <s v="2024-10-06"/>
    <x v="3"/>
    <s v="Pesas Ajustables"/>
    <n v="78000"/>
    <x v="0"/>
    <s v="Metropolitana"/>
    <s v="Alta"/>
    <x v="0"/>
  </r>
  <r>
    <s v="VT013"/>
    <s v="2024-10-07"/>
    <x v="0"/>
    <s v="Tablet 10&quot;"/>
    <n v="185000"/>
    <x v="1"/>
    <s v="Biobío"/>
    <s v="Alta"/>
    <x v="0"/>
  </r>
  <r>
    <s v="VT014"/>
    <s v="2024-10-07"/>
    <x v="2"/>
    <s v="Cartera Cuero"/>
    <n v="48000"/>
    <x v="1"/>
    <s v="No especificado"/>
    <s v="Media"/>
    <x v="0"/>
  </r>
  <r>
    <s v="VT015"/>
    <s v="2024-10-08"/>
    <x v="1"/>
    <s v="Cafetera Express"/>
    <n v="125000"/>
    <x v="0"/>
    <s v="Valparaíso"/>
    <s v="Alta"/>
    <x v="0"/>
  </r>
  <r>
    <s v="VT016"/>
    <s v="2024-10-08"/>
    <x v="3"/>
    <s v="Cuerda para Saltar"/>
    <n v="12000"/>
    <x v="1"/>
    <s v="Metropolitana"/>
    <s v="baja"/>
    <x v="0"/>
  </r>
  <r>
    <s v="VT017"/>
    <s v="2024-10-09"/>
    <x v="0"/>
    <s v="Cargador Inalámbrico"/>
    <n v="28000"/>
    <x v="0"/>
    <s v="Araucanía"/>
    <s v="baja"/>
    <x v="0"/>
  </r>
  <r>
    <s v="VT018"/>
    <s v="2024-10-09"/>
    <x v="2"/>
    <s v="Reloj Deportivo"/>
    <n v="110000"/>
    <x v="0"/>
    <s v="No especificado"/>
    <s v="Alta"/>
    <x v="0"/>
  </r>
  <r>
    <s v="VT019"/>
    <s v="2024-10-10"/>
    <x v="1"/>
    <s v="Set Ollas Acero"/>
    <n v="95000"/>
    <x v="1"/>
    <s v="Coquimbo"/>
    <s v="Alta"/>
    <x v="0"/>
  </r>
  <r>
    <s v="VT020"/>
    <s v="2024-10-10"/>
    <x v="3"/>
    <s v="Colchoneta Yoga"/>
    <n v="32000"/>
    <x v="1"/>
    <s v="Metropolitana"/>
    <s v="Media"/>
    <x v="0"/>
  </r>
  <r>
    <s v="VT021"/>
    <s v="2024-10-11"/>
    <x v="0"/>
    <s v="Teclado Mecánico"/>
    <n v="72000"/>
    <x v="0"/>
    <s v="Valparaíso"/>
    <s v="Media"/>
    <x v="0"/>
  </r>
  <r>
    <s v="VT022"/>
    <s v="2024-10-11"/>
    <x v="2"/>
    <s v="Mochila Laptop"/>
    <n v="58000"/>
    <x v="1"/>
    <s v="Biobío"/>
    <s v="Media"/>
    <x v="0"/>
  </r>
  <r>
    <s v="VT023"/>
    <s v="2024-10-12"/>
    <x v="1"/>
    <s v="Ventilador Torre"/>
    <n v="68000"/>
    <x v="0"/>
    <s v="No especificado"/>
    <s v="Media"/>
    <x v="0"/>
  </r>
  <r>
    <s v="VT024"/>
    <s v="2024-10-12"/>
    <x v="3"/>
    <s v="Guantes Gimnasio"/>
    <n v="18000"/>
    <x v="1"/>
    <s v="Metropolitana"/>
    <s v="baja"/>
    <x v="0"/>
  </r>
  <r>
    <s v="VT025"/>
    <s v="2024-10-13"/>
    <x v="0"/>
    <s v="Parlante Bluetooth"/>
    <n v="55000"/>
    <x v="0"/>
    <s v="Araucanía"/>
    <s v="Media"/>
    <x v="0"/>
  </r>
  <r>
    <s v="VT026"/>
    <s v="2024-10-13"/>
    <x v="2"/>
    <s v="Polera Deportiva"/>
    <n v="28000"/>
    <x v="1"/>
    <s v="Valparaíso"/>
    <s v="baja"/>
    <x v="0"/>
  </r>
  <r>
    <s v="VT027"/>
    <s v="2024-10-14"/>
    <x v="1"/>
    <s v="Plancha Vapor"/>
    <n v="45000"/>
    <x v="0"/>
    <s v="No especificado"/>
    <s v="Media"/>
    <x v="0"/>
  </r>
  <r>
    <s v="VT028"/>
    <s v="2024-10-14"/>
    <x v="3"/>
    <s v="Bolso Deporte"/>
    <n v="38000"/>
    <x v="1"/>
    <s v="Coquimbo"/>
    <s v="Media"/>
    <x v="0"/>
  </r>
  <r>
    <s v="VT029"/>
    <s v="2024-10-15"/>
    <x v="0"/>
    <s v="Webcam HD"/>
    <n v="62000"/>
    <x v="0"/>
    <s v="Metropolitana"/>
    <s v="Media"/>
    <x v="0"/>
  </r>
  <r>
    <s v="VT030"/>
    <s v="2024-10-15"/>
    <x v="2"/>
    <s v="Gorro Invierno"/>
    <n v="22000"/>
    <x v="1"/>
    <s v="Biobío"/>
    <s v="baja"/>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 dinámica1" cacheId="0" applyNumberFormats="0" applyBorderFormats="0" applyFontFormats="0" applyPatternFormats="0" applyAlignmentFormats="0" applyWidthHeightFormats="1" dataCaption="Valores" updatedVersion="5" minRefreshableVersion="3" useAutoFormatting="1" itemPrintTitles="1" createdVersion="5" indent="0" outline="1" outlineData="1" multipleFieldFilters="0" chartFormat="3">
  <location ref="A3:D9" firstHeaderRow="1" firstDataRow="2" firstDataCol="1" rowPageCount="1" colPageCount="1"/>
  <pivotFields count="9">
    <pivotField showAll="0"/>
    <pivotField showAll="0"/>
    <pivotField axis="axisRow" showAll="0">
      <items count="7">
        <item x="3"/>
        <item m="1" x="4"/>
        <item x="0"/>
        <item x="1"/>
        <item m="1" x="5"/>
        <item x="2"/>
        <item t="default"/>
      </items>
    </pivotField>
    <pivotField showAll="0"/>
    <pivotField dataField="1" showAll="0"/>
    <pivotField axis="axisCol" showAll="0">
      <items count="3">
        <item x="1"/>
        <item x="0"/>
        <item t="default"/>
      </items>
    </pivotField>
    <pivotField showAll="0"/>
    <pivotField showAll="0"/>
    <pivotField axis="axisPage" showAll="0" defaultSubtotal="0">
      <items count="1">
        <item x="0"/>
      </items>
    </pivotField>
  </pivotFields>
  <rowFields count="1">
    <field x="2"/>
  </rowFields>
  <rowItems count="5">
    <i>
      <x/>
    </i>
    <i>
      <x v="2"/>
    </i>
    <i>
      <x v="3"/>
    </i>
    <i>
      <x v="5"/>
    </i>
    <i t="grand">
      <x/>
    </i>
  </rowItems>
  <colFields count="1">
    <field x="5"/>
  </colFields>
  <colItems count="3">
    <i>
      <x/>
    </i>
    <i>
      <x v="1"/>
    </i>
    <i t="grand">
      <x/>
    </i>
  </colItems>
  <pageFields count="1">
    <pageField fld="8" hier="-1"/>
  </pageFields>
  <dataFields count="1">
    <dataField name="Suma de Precio" fld="4" baseField="0" baseItem="0" numFmtId="164"/>
  </dataFields>
  <chartFormats count="4">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pivotArea type="data" outline="0" fieldPosition="0">
        <references count="3">
          <reference field="4294967294" count="1" selected="0">
            <x v="0"/>
          </reference>
          <reference field="2" count="1" selected="0">
            <x v="3"/>
          </reference>
          <reference field="5" count="1" selected="0">
            <x v="0"/>
          </reference>
        </references>
      </pivotArea>
    </chartFormat>
    <chartFormat chart="1" format="3">
      <pivotArea type="data" outline="0" fieldPosition="0">
        <references count="3">
          <reference field="4294967294" count="1" selected="0">
            <x v="0"/>
          </reference>
          <reference field="2" count="1" selected="0">
            <x v="3"/>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abla2" displayName="Tabla2" ref="A1:I31" totalsRowShown="0" headerRowDxfId="10" dataDxfId="9" headerRowCellStyle="Normal 2" dataCellStyle="Normal 2">
  <autoFilter ref="A1:I31"/>
  <tableColumns count="9">
    <tableColumn id="1" name="ID_Transaccion" dataDxfId="8" dataCellStyle="Normal 2"/>
    <tableColumn id="2" name="Fecha" dataDxfId="7" dataCellStyle="Normal 2"/>
    <tableColumn id="3" name="Categoria" dataDxfId="6" dataCellStyle="Normal 2"/>
    <tableColumn id="4" name="Producto" dataDxfId="5" dataCellStyle="Normal 2"/>
    <tableColumn id="5" name="Precio" dataDxfId="4" dataCellStyle="Normal 2"/>
    <tableColumn id="6" name="Canal" dataDxfId="3" dataCellStyle="Normal 2"/>
    <tableColumn id="7" name="Region" dataDxfId="2" dataCellStyle="Normal 2"/>
    <tableColumn id="8" name="Clasificación" dataDxfId="1" dataCellStyle="Normal 2">
      <calculatedColumnFormula>IF(E2&gt;75000,"Alta",IF(E2&gt;=30000,"Media","baja"))</calculatedColumnFormula>
    </tableColumn>
    <tableColumn id="9" name="Mes" dataDxfId="0" dataCellStyle="Normal 2">
      <calculatedColumnFormula>TEXT(B2, "mmmm")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0"/>
  <sheetViews>
    <sheetView workbookViewId="0">
      <selection activeCell="D3" sqref="D3"/>
    </sheetView>
  </sheetViews>
  <sheetFormatPr baseColWidth="10" defaultColWidth="12.44140625" defaultRowHeight="15" customHeight="1" x14ac:dyDescent="0.3"/>
  <cols>
    <col min="1" max="1" width="17.5546875" style="3" customWidth="1"/>
    <col min="2" max="2" width="14.21875" style="3" customWidth="1"/>
    <col min="3" max="3" width="17.5546875" style="3" customWidth="1"/>
    <col min="4" max="4" width="28.6640625" style="3" customWidth="1"/>
    <col min="5" max="5" width="14.21875" style="3" customWidth="1"/>
    <col min="6" max="6" width="12" style="3" customWidth="1"/>
    <col min="7" max="7" width="17.5546875" style="3" customWidth="1"/>
    <col min="8" max="16384" width="12.44140625" style="3"/>
  </cols>
  <sheetData>
    <row r="1" spans="1:9" ht="15.6" x14ac:dyDescent="0.3">
      <c r="A1" s="1" t="s">
        <v>0</v>
      </c>
      <c r="B1" s="1" t="s">
        <v>1</v>
      </c>
      <c r="C1" s="1" t="s">
        <v>2</v>
      </c>
      <c r="D1" s="1" t="s">
        <v>3</v>
      </c>
      <c r="E1" s="1" t="s">
        <v>4</v>
      </c>
      <c r="F1" s="1" t="s">
        <v>5</v>
      </c>
      <c r="G1" s="1" t="s">
        <v>6</v>
      </c>
      <c r="H1" s="2" t="s">
        <v>7</v>
      </c>
      <c r="I1" s="2" t="s">
        <v>104</v>
      </c>
    </row>
    <row r="2" spans="1:9" ht="15.6" x14ac:dyDescent="0.3">
      <c r="A2" s="1" t="s">
        <v>8</v>
      </c>
      <c r="B2" s="1" t="s">
        <v>9</v>
      </c>
      <c r="C2" s="1" t="s">
        <v>10</v>
      </c>
      <c r="D2" s="1" t="s">
        <v>11</v>
      </c>
      <c r="E2" s="1">
        <v>45000</v>
      </c>
      <c r="F2" s="1" t="s">
        <v>12</v>
      </c>
      <c r="G2" s="1" t="s">
        <v>13</v>
      </c>
      <c r="H2" s="2" t="str">
        <f t="shared" ref="H2:H31" si="0">IF(E2&gt;75000,"Alta",IF(E2&gt;=30000,"Media","baja"))</f>
        <v>Media</v>
      </c>
      <c r="I2" s="2" t="str">
        <f t="shared" ref="I2:I31" si="1">TEXT(B2, "mmmm")</f>
        <v>octubre</v>
      </c>
    </row>
    <row r="3" spans="1:9" ht="15.6" x14ac:dyDescent="0.3">
      <c r="A3" s="1" t="s">
        <v>14</v>
      </c>
      <c r="B3" s="1" t="s">
        <v>9</v>
      </c>
      <c r="C3" s="1" t="s">
        <v>15</v>
      </c>
      <c r="D3" s="1" t="s">
        <v>16</v>
      </c>
      <c r="E3" s="1">
        <v>189000</v>
      </c>
      <c r="F3" s="1" t="s">
        <v>17</v>
      </c>
      <c r="G3" s="1" t="s">
        <v>18</v>
      </c>
      <c r="H3" s="2" t="str">
        <f t="shared" si="0"/>
        <v>Alta</v>
      </c>
      <c r="I3" s="2" t="str">
        <f t="shared" si="1"/>
        <v>octubre</v>
      </c>
    </row>
    <row r="4" spans="1:9" ht="15.6" x14ac:dyDescent="0.3">
      <c r="A4" s="1" t="s">
        <v>19</v>
      </c>
      <c r="B4" s="1" t="s">
        <v>20</v>
      </c>
      <c r="C4" s="1" t="s">
        <v>21</v>
      </c>
      <c r="D4" s="1" t="s">
        <v>22</v>
      </c>
      <c r="E4" s="1">
        <v>65000</v>
      </c>
      <c r="F4" s="1" t="s">
        <v>12</v>
      </c>
      <c r="G4" s="3" t="s">
        <v>23</v>
      </c>
      <c r="H4" s="2" t="str">
        <f t="shared" si="0"/>
        <v>Media</v>
      </c>
      <c r="I4" s="2" t="str">
        <f t="shared" si="1"/>
        <v>octubre</v>
      </c>
    </row>
    <row r="5" spans="1:9" ht="15.6" x14ac:dyDescent="0.3">
      <c r="A5" s="1" t="s">
        <v>24</v>
      </c>
      <c r="B5" s="1" t="s">
        <v>20</v>
      </c>
      <c r="C5" s="1" t="s">
        <v>25</v>
      </c>
      <c r="D5" s="1" t="s">
        <v>26</v>
      </c>
      <c r="E5" s="1">
        <v>25000</v>
      </c>
      <c r="F5" s="1" t="s">
        <v>17</v>
      </c>
      <c r="G5" s="1" t="s">
        <v>27</v>
      </c>
      <c r="H5" s="2" t="str">
        <f t="shared" si="0"/>
        <v>baja</v>
      </c>
      <c r="I5" s="2" t="str">
        <f t="shared" si="1"/>
        <v>octubre</v>
      </c>
    </row>
    <row r="6" spans="1:9" ht="15.6" x14ac:dyDescent="0.3">
      <c r="A6" s="1" t="s">
        <v>28</v>
      </c>
      <c r="B6" s="1" t="s">
        <v>29</v>
      </c>
      <c r="C6" s="1" t="s">
        <v>10</v>
      </c>
      <c r="D6" s="1" t="s">
        <v>30</v>
      </c>
      <c r="E6" s="1">
        <v>38000</v>
      </c>
      <c r="F6" s="1" t="s">
        <v>12</v>
      </c>
      <c r="G6" s="1" t="s">
        <v>13</v>
      </c>
      <c r="H6" s="2" t="str">
        <f t="shared" si="0"/>
        <v>Media</v>
      </c>
      <c r="I6" s="2" t="str">
        <f t="shared" si="1"/>
        <v>octubre</v>
      </c>
    </row>
    <row r="7" spans="1:9" ht="15.6" x14ac:dyDescent="0.3">
      <c r="A7" s="1" t="s">
        <v>31</v>
      </c>
      <c r="B7" s="1" t="s">
        <v>29</v>
      </c>
      <c r="C7" s="1" t="s">
        <v>15</v>
      </c>
      <c r="D7" s="1" t="s">
        <v>32</v>
      </c>
      <c r="E7" s="1">
        <v>42000</v>
      </c>
      <c r="F7" s="1" t="s">
        <v>17</v>
      </c>
      <c r="G7" s="3" t="s">
        <v>23</v>
      </c>
      <c r="H7" s="2" t="str">
        <f t="shared" si="0"/>
        <v>Media</v>
      </c>
      <c r="I7" s="2" t="str">
        <f t="shared" si="1"/>
        <v>octubre</v>
      </c>
    </row>
    <row r="8" spans="1:9" ht="15.6" x14ac:dyDescent="0.3">
      <c r="A8" s="1" t="s">
        <v>33</v>
      </c>
      <c r="B8" s="1" t="s">
        <v>34</v>
      </c>
      <c r="C8" s="1" t="s">
        <v>21</v>
      </c>
      <c r="D8" s="1" t="s">
        <v>35</v>
      </c>
      <c r="E8" s="1">
        <v>95000</v>
      </c>
      <c r="F8" s="1" t="s">
        <v>12</v>
      </c>
      <c r="G8" s="1" t="s">
        <v>36</v>
      </c>
      <c r="H8" s="2" t="str">
        <f t="shared" si="0"/>
        <v>Alta</v>
      </c>
      <c r="I8" s="2" t="str">
        <f t="shared" si="1"/>
        <v>octubre</v>
      </c>
    </row>
    <row r="9" spans="1:9" ht="15.6" x14ac:dyDescent="0.3">
      <c r="A9" s="1" t="s">
        <v>37</v>
      </c>
      <c r="B9" s="1" t="s">
        <v>34</v>
      </c>
      <c r="C9" s="1" t="s">
        <v>25</v>
      </c>
      <c r="D9" s="1" t="s">
        <v>38</v>
      </c>
      <c r="E9" s="1">
        <v>320000</v>
      </c>
      <c r="F9" s="1" t="s">
        <v>17</v>
      </c>
      <c r="G9" s="1" t="s">
        <v>13</v>
      </c>
      <c r="H9" s="2" t="str">
        <f t="shared" si="0"/>
        <v>Alta</v>
      </c>
      <c r="I9" s="2" t="str">
        <f t="shared" si="1"/>
        <v>octubre</v>
      </c>
    </row>
    <row r="10" spans="1:9" ht="15.6" x14ac:dyDescent="0.3">
      <c r="A10" s="1" t="s">
        <v>39</v>
      </c>
      <c r="B10" s="1" t="s">
        <v>40</v>
      </c>
      <c r="C10" s="1" t="s">
        <v>10</v>
      </c>
      <c r="D10" s="1" t="s">
        <v>41</v>
      </c>
      <c r="E10" s="1">
        <v>450000</v>
      </c>
      <c r="F10" s="1" t="s">
        <v>12</v>
      </c>
      <c r="G10" s="1" t="s">
        <v>18</v>
      </c>
      <c r="H10" s="2" t="str">
        <f t="shared" si="0"/>
        <v>Alta</v>
      </c>
      <c r="I10" s="2" t="str">
        <f t="shared" si="1"/>
        <v>octubre</v>
      </c>
    </row>
    <row r="11" spans="1:9" ht="15.6" x14ac:dyDescent="0.3">
      <c r="A11" s="1" t="s">
        <v>42</v>
      </c>
      <c r="B11" s="1" t="s">
        <v>40</v>
      </c>
      <c r="C11" s="1" t="s">
        <v>21</v>
      </c>
      <c r="D11" s="1" t="s">
        <v>43</v>
      </c>
      <c r="E11" s="1">
        <v>52000</v>
      </c>
      <c r="F11" s="1" t="s">
        <v>17</v>
      </c>
      <c r="G11" s="3" t="s">
        <v>23</v>
      </c>
      <c r="H11" s="2" t="str">
        <f t="shared" si="0"/>
        <v>Media</v>
      </c>
      <c r="I11" s="2" t="str">
        <f t="shared" si="1"/>
        <v>octubre</v>
      </c>
    </row>
    <row r="12" spans="1:9" ht="15.6" x14ac:dyDescent="0.3">
      <c r="A12" s="1" t="s">
        <v>44</v>
      </c>
      <c r="B12" s="1" t="s">
        <v>45</v>
      </c>
      <c r="C12" s="1" t="s">
        <v>15</v>
      </c>
      <c r="D12" s="1" t="s">
        <v>46</v>
      </c>
      <c r="E12" s="1">
        <v>85000</v>
      </c>
      <c r="F12" s="1" t="s">
        <v>12</v>
      </c>
      <c r="G12" s="1" t="s">
        <v>47</v>
      </c>
      <c r="H12" s="2" t="str">
        <f t="shared" si="0"/>
        <v>Alta</v>
      </c>
      <c r="I12" s="2" t="str">
        <f t="shared" si="1"/>
        <v>octubre</v>
      </c>
    </row>
    <row r="13" spans="1:9" ht="15.6" x14ac:dyDescent="0.3">
      <c r="A13" s="1" t="s">
        <v>48</v>
      </c>
      <c r="B13" s="1" t="s">
        <v>45</v>
      </c>
      <c r="C13" s="1" t="s">
        <v>25</v>
      </c>
      <c r="D13" s="1" t="s">
        <v>49</v>
      </c>
      <c r="E13" s="1">
        <v>78000</v>
      </c>
      <c r="F13" s="1" t="s">
        <v>12</v>
      </c>
      <c r="G13" s="1" t="s">
        <v>13</v>
      </c>
      <c r="H13" s="2" t="str">
        <f t="shared" si="0"/>
        <v>Alta</v>
      </c>
      <c r="I13" s="2" t="str">
        <f t="shared" si="1"/>
        <v>octubre</v>
      </c>
    </row>
    <row r="14" spans="1:9" ht="15.6" x14ac:dyDescent="0.3">
      <c r="A14" s="1" t="s">
        <v>50</v>
      </c>
      <c r="B14" s="1" t="s">
        <v>51</v>
      </c>
      <c r="C14" s="1" t="s">
        <v>10</v>
      </c>
      <c r="D14" s="1" t="s">
        <v>52</v>
      </c>
      <c r="E14" s="1">
        <v>185000</v>
      </c>
      <c r="F14" s="1" t="s">
        <v>17</v>
      </c>
      <c r="G14" s="1" t="s">
        <v>27</v>
      </c>
      <c r="H14" s="2" t="str">
        <f t="shared" si="0"/>
        <v>Alta</v>
      </c>
      <c r="I14" s="2" t="str">
        <f t="shared" si="1"/>
        <v>octubre</v>
      </c>
    </row>
    <row r="15" spans="1:9" ht="15.6" x14ac:dyDescent="0.3">
      <c r="A15" s="1" t="s">
        <v>53</v>
      </c>
      <c r="B15" s="1" t="s">
        <v>51</v>
      </c>
      <c r="C15" s="1" t="s">
        <v>21</v>
      </c>
      <c r="D15" s="1" t="s">
        <v>54</v>
      </c>
      <c r="E15" s="1">
        <v>48000</v>
      </c>
      <c r="F15" s="1" t="s">
        <v>17</v>
      </c>
      <c r="G15" s="3" t="s">
        <v>23</v>
      </c>
      <c r="H15" s="2" t="str">
        <f t="shared" si="0"/>
        <v>Media</v>
      </c>
      <c r="I15" s="2" t="str">
        <f t="shared" si="1"/>
        <v>octubre</v>
      </c>
    </row>
    <row r="16" spans="1:9" ht="15.6" x14ac:dyDescent="0.3">
      <c r="A16" s="1" t="s">
        <v>55</v>
      </c>
      <c r="B16" s="1" t="s">
        <v>56</v>
      </c>
      <c r="C16" s="1" t="s">
        <v>15</v>
      </c>
      <c r="D16" s="1" t="s">
        <v>57</v>
      </c>
      <c r="E16" s="1">
        <v>125000</v>
      </c>
      <c r="F16" s="1" t="s">
        <v>12</v>
      </c>
      <c r="G16" s="1" t="s">
        <v>18</v>
      </c>
      <c r="H16" s="2" t="str">
        <f t="shared" si="0"/>
        <v>Alta</v>
      </c>
      <c r="I16" s="2" t="str">
        <f t="shared" si="1"/>
        <v>octubre</v>
      </c>
    </row>
    <row r="17" spans="1:9" ht="15.6" x14ac:dyDescent="0.3">
      <c r="A17" s="1" t="s">
        <v>58</v>
      </c>
      <c r="B17" s="1" t="s">
        <v>56</v>
      </c>
      <c r="C17" s="1" t="s">
        <v>25</v>
      </c>
      <c r="D17" s="1" t="s">
        <v>59</v>
      </c>
      <c r="E17" s="1">
        <v>12000</v>
      </c>
      <c r="F17" s="1" t="s">
        <v>17</v>
      </c>
      <c r="G17" s="1" t="s">
        <v>13</v>
      </c>
      <c r="H17" s="2" t="str">
        <f t="shared" si="0"/>
        <v>baja</v>
      </c>
      <c r="I17" s="2" t="str">
        <f t="shared" si="1"/>
        <v>octubre</v>
      </c>
    </row>
    <row r="18" spans="1:9" ht="15.6" x14ac:dyDescent="0.3">
      <c r="A18" s="1" t="s">
        <v>60</v>
      </c>
      <c r="B18" s="1" t="s">
        <v>61</v>
      </c>
      <c r="C18" s="1" t="s">
        <v>10</v>
      </c>
      <c r="D18" s="1" t="s">
        <v>62</v>
      </c>
      <c r="E18" s="1">
        <v>28000</v>
      </c>
      <c r="F18" s="1" t="s">
        <v>12</v>
      </c>
      <c r="G18" s="1" t="s">
        <v>36</v>
      </c>
      <c r="H18" s="2" t="str">
        <f t="shared" si="0"/>
        <v>baja</v>
      </c>
      <c r="I18" s="2" t="str">
        <f t="shared" si="1"/>
        <v>octubre</v>
      </c>
    </row>
    <row r="19" spans="1:9" ht="15.6" x14ac:dyDescent="0.3">
      <c r="A19" s="1" t="s">
        <v>63</v>
      </c>
      <c r="B19" s="1" t="s">
        <v>61</v>
      </c>
      <c r="C19" s="1" t="s">
        <v>21</v>
      </c>
      <c r="D19" s="1" t="s">
        <v>64</v>
      </c>
      <c r="E19" s="1">
        <v>110000</v>
      </c>
      <c r="F19" s="1" t="s">
        <v>12</v>
      </c>
      <c r="G19" s="3" t="s">
        <v>23</v>
      </c>
      <c r="H19" s="2" t="str">
        <f t="shared" si="0"/>
        <v>Alta</v>
      </c>
      <c r="I19" s="2" t="str">
        <f t="shared" si="1"/>
        <v>octubre</v>
      </c>
    </row>
    <row r="20" spans="1:9" ht="15.6" x14ac:dyDescent="0.3">
      <c r="A20" s="1" t="s">
        <v>65</v>
      </c>
      <c r="B20" s="1" t="s">
        <v>66</v>
      </c>
      <c r="C20" s="1" t="s">
        <v>15</v>
      </c>
      <c r="D20" s="1" t="s">
        <v>67</v>
      </c>
      <c r="E20" s="1">
        <v>95000</v>
      </c>
      <c r="F20" s="1" t="s">
        <v>17</v>
      </c>
      <c r="G20" s="1" t="s">
        <v>47</v>
      </c>
      <c r="H20" s="2" t="str">
        <f t="shared" si="0"/>
        <v>Alta</v>
      </c>
      <c r="I20" s="2" t="str">
        <f t="shared" si="1"/>
        <v>octubre</v>
      </c>
    </row>
    <row r="21" spans="1:9" ht="15.75" customHeight="1" x14ac:dyDescent="0.3">
      <c r="A21" s="1" t="s">
        <v>68</v>
      </c>
      <c r="B21" s="1" t="s">
        <v>66</v>
      </c>
      <c r="C21" s="1" t="s">
        <v>25</v>
      </c>
      <c r="D21" s="1" t="s">
        <v>69</v>
      </c>
      <c r="E21" s="1">
        <v>32000</v>
      </c>
      <c r="F21" s="1" t="s">
        <v>17</v>
      </c>
      <c r="G21" s="1" t="s">
        <v>13</v>
      </c>
      <c r="H21" s="2" t="str">
        <f t="shared" si="0"/>
        <v>Media</v>
      </c>
      <c r="I21" s="2" t="str">
        <f t="shared" si="1"/>
        <v>octubre</v>
      </c>
    </row>
    <row r="22" spans="1:9" ht="15.75" customHeight="1" x14ac:dyDescent="0.3">
      <c r="A22" s="1" t="s">
        <v>70</v>
      </c>
      <c r="B22" s="1" t="s">
        <v>71</v>
      </c>
      <c r="C22" s="1" t="s">
        <v>10</v>
      </c>
      <c r="D22" s="1" t="s">
        <v>72</v>
      </c>
      <c r="E22" s="1">
        <v>72000</v>
      </c>
      <c r="F22" s="1" t="s">
        <v>12</v>
      </c>
      <c r="G22" s="1" t="s">
        <v>18</v>
      </c>
      <c r="H22" s="2" t="str">
        <f t="shared" si="0"/>
        <v>Media</v>
      </c>
      <c r="I22" s="2" t="str">
        <f t="shared" si="1"/>
        <v>octubre</v>
      </c>
    </row>
    <row r="23" spans="1:9" ht="15.75" customHeight="1" x14ac:dyDescent="0.3">
      <c r="A23" s="1" t="s">
        <v>73</v>
      </c>
      <c r="B23" s="1" t="s">
        <v>71</v>
      </c>
      <c r="C23" s="1" t="s">
        <v>21</v>
      </c>
      <c r="D23" s="1" t="s">
        <v>74</v>
      </c>
      <c r="E23" s="1">
        <v>58000</v>
      </c>
      <c r="F23" s="1" t="s">
        <v>17</v>
      </c>
      <c r="G23" s="1" t="s">
        <v>27</v>
      </c>
      <c r="H23" s="2" t="str">
        <f t="shared" si="0"/>
        <v>Media</v>
      </c>
      <c r="I23" s="2" t="str">
        <f t="shared" si="1"/>
        <v>octubre</v>
      </c>
    </row>
    <row r="24" spans="1:9" ht="15.75" customHeight="1" x14ac:dyDescent="0.3">
      <c r="A24" s="1" t="s">
        <v>75</v>
      </c>
      <c r="B24" s="1" t="s">
        <v>76</v>
      </c>
      <c r="C24" s="1" t="s">
        <v>15</v>
      </c>
      <c r="D24" s="1" t="s">
        <v>77</v>
      </c>
      <c r="E24" s="1">
        <v>68000</v>
      </c>
      <c r="F24" s="1" t="s">
        <v>12</v>
      </c>
      <c r="G24" s="3" t="s">
        <v>23</v>
      </c>
      <c r="H24" s="2" t="str">
        <f t="shared" si="0"/>
        <v>Media</v>
      </c>
      <c r="I24" s="2" t="str">
        <f t="shared" si="1"/>
        <v>octubre</v>
      </c>
    </row>
    <row r="25" spans="1:9" ht="15.75" customHeight="1" x14ac:dyDescent="0.3">
      <c r="A25" s="1" t="s">
        <v>78</v>
      </c>
      <c r="B25" s="1" t="s">
        <v>76</v>
      </c>
      <c r="C25" s="1" t="s">
        <v>25</v>
      </c>
      <c r="D25" s="1" t="s">
        <v>79</v>
      </c>
      <c r="E25" s="1">
        <v>18000</v>
      </c>
      <c r="F25" s="1" t="s">
        <v>17</v>
      </c>
      <c r="G25" s="1" t="s">
        <v>13</v>
      </c>
      <c r="H25" s="2" t="str">
        <f t="shared" si="0"/>
        <v>baja</v>
      </c>
      <c r="I25" s="2" t="str">
        <f t="shared" si="1"/>
        <v>octubre</v>
      </c>
    </row>
    <row r="26" spans="1:9" ht="15.75" customHeight="1" x14ac:dyDescent="0.3">
      <c r="A26" s="1" t="s">
        <v>80</v>
      </c>
      <c r="B26" s="1" t="s">
        <v>81</v>
      </c>
      <c r="C26" s="1" t="s">
        <v>10</v>
      </c>
      <c r="D26" s="1" t="s">
        <v>82</v>
      </c>
      <c r="E26" s="1">
        <v>55000</v>
      </c>
      <c r="F26" s="1" t="s">
        <v>12</v>
      </c>
      <c r="G26" s="1" t="s">
        <v>36</v>
      </c>
      <c r="H26" s="2" t="str">
        <f t="shared" si="0"/>
        <v>Media</v>
      </c>
      <c r="I26" s="2" t="str">
        <f t="shared" si="1"/>
        <v>octubre</v>
      </c>
    </row>
    <row r="27" spans="1:9" ht="15.75" customHeight="1" x14ac:dyDescent="0.3">
      <c r="A27" s="1" t="s">
        <v>83</v>
      </c>
      <c r="B27" s="1" t="s">
        <v>81</v>
      </c>
      <c r="C27" s="1" t="s">
        <v>21</v>
      </c>
      <c r="D27" s="1" t="s">
        <v>84</v>
      </c>
      <c r="E27" s="1">
        <v>28000</v>
      </c>
      <c r="F27" s="1" t="s">
        <v>17</v>
      </c>
      <c r="G27" s="1" t="s">
        <v>18</v>
      </c>
      <c r="H27" s="2" t="str">
        <f t="shared" si="0"/>
        <v>baja</v>
      </c>
      <c r="I27" s="2" t="str">
        <f t="shared" si="1"/>
        <v>octubre</v>
      </c>
    </row>
    <row r="28" spans="1:9" ht="15.75" customHeight="1" x14ac:dyDescent="0.3">
      <c r="A28" s="1" t="s">
        <v>85</v>
      </c>
      <c r="B28" s="1" t="s">
        <v>86</v>
      </c>
      <c r="C28" s="1" t="s">
        <v>15</v>
      </c>
      <c r="D28" s="1" t="s">
        <v>87</v>
      </c>
      <c r="E28" s="1">
        <v>45000</v>
      </c>
      <c r="F28" s="1" t="s">
        <v>12</v>
      </c>
      <c r="G28" s="3" t="s">
        <v>23</v>
      </c>
      <c r="H28" s="2" t="str">
        <f t="shared" si="0"/>
        <v>Media</v>
      </c>
      <c r="I28" s="2" t="str">
        <f t="shared" si="1"/>
        <v>octubre</v>
      </c>
    </row>
    <row r="29" spans="1:9" ht="15.75" customHeight="1" x14ac:dyDescent="0.3">
      <c r="A29" s="1" t="s">
        <v>88</v>
      </c>
      <c r="B29" s="1" t="s">
        <v>86</v>
      </c>
      <c r="C29" s="1" t="s">
        <v>25</v>
      </c>
      <c r="D29" s="1" t="s">
        <v>89</v>
      </c>
      <c r="E29" s="1">
        <v>38000</v>
      </c>
      <c r="F29" s="1" t="s">
        <v>17</v>
      </c>
      <c r="G29" s="1" t="s">
        <v>47</v>
      </c>
      <c r="H29" s="2" t="str">
        <f t="shared" si="0"/>
        <v>Media</v>
      </c>
      <c r="I29" s="2" t="str">
        <f t="shared" si="1"/>
        <v>octubre</v>
      </c>
    </row>
    <row r="30" spans="1:9" ht="15.75" customHeight="1" x14ac:dyDescent="0.3">
      <c r="A30" s="1" t="s">
        <v>90</v>
      </c>
      <c r="B30" s="1" t="s">
        <v>91</v>
      </c>
      <c r="C30" s="1" t="s">
        <v>10</v>
      </c>
      <c r="D30" s="1" t="s">
        <v>92</v>
      </c>
      <c r="E30" s="1">
        <v>62000</v>
      </c>
      <c r="F30" s="1" t="s">
        <v>12</v>
      </c>
      <c r="G30" s="1" t="s">
        <v>13</v>
      </c>
      <c r="H30" s="2" t="str">
        <f t="shared" si="0"/>
        <v>Media</v>
      </c>
      <c r="I30" s="2" t="str">
        <f t="shared" si="1"/>
        <v>octubre</v>
      </c>
    </row>
    <row r="31" spans="1:9" ht="15.75" customHeight="1" x14ac:dyDescent="0.3">
      <c r="A31" s="1" t="s">
        <v>93</v>
      </c>
      <c r="B31" s="1" t="s">
        <v>91</v>
      </c>
      <c r="C31" s="1" t="s">
        <v>21</v>
      </c>
      <c r="D31" s="1" t="s">
        <v>94</v>
      </c>
      <c r="E31" s="1">
        <v>22000</v>
      </c>
      <c r="F31" s="1" t="s">
        <v>17</v>
      </c>
      <c r="G31" s="1" t="s">
        <v>27</v>
      </c>
      <c r="H31" s="2" t="str">
        <f t="shared" si="0"/>
        <v>baja</v>
      </c>
      <c r="I31" s="2" t="str">
        <f t="shared" si="1"/>
        <v>octubre</v>
      </c>
    </row>
    <row r="32" spans="1:9" ht="15.75" customHeight="1" x14ac:dyDescent="0.3">
      <c r="A32"/>
      <c r="B32"/>
      <c r="C32"/>
      <c r="D32"/>
      <c r="E32"/>
      <c r="F32"/>
      <c r="G32"/>
    </row>
    <row r="33" spans="1:7" ht="15.75" customHeight="1" x14ac:dyDescent="0.3">
      <c r="A33"/>
      <c r="B33"/>
      <c r="C33"/>
      <c r="D33"/>
      <c r="E33"/>
      <c r="F33"/>
      <c r="G33"/>
    </row>
    <row r="34" spans="1:7" ht="15.75" customHeight="1" x14ac:dyDescent="0.3"/>
    <row r="35" spans="1:7" ht="15.75" customHeight="1" x14ac:dyDescent="0.3"/>
    <row r="36" spans="1:7" ht="15.75" customHeight="1" x14ac:dyDescent="0.3"/>
    <row r="37" spans="1:7" ht="15.75" customHeight="1" x14ac:dyDescent="0.3"/>
    <row r="38" spans="1:7" ht="15.75" customHeight="1" x14ac:dyDescent="0.3"/>
    <row r="39" spans="1:7" ht="15.75" customHeight="1" x14ac:dyDescent="0.3"/>
    <row r="40" spans="1:7" ht="15.75" customHeight="1" x14ac:dyDescent="0.3"/>
    <row r="41" spans="1:7" ht="15.75" customHeight="1" x14ac:dyDescent="0.3"/>
    <row r="42" spans="1:7" ht="15.75" customHeight="1" x14ac:dyDescent="0.3"/>
    <row r="43" spans="1:7" ht="15.75" customHeight="1" x14ac:dyDescent="0.3"/>
    <row r="44" spans="1:7" ht="15.75" customHeight="1" x14ac:dyDescent="0.3"/>
    <row r="45" spans="1:7" ht="15.75" customHeight="1" x14ac:dyDescent="0.3"/>
    <row r="46" spans="1:7" ht="15.75" customHeight="1" x14ac:dyDescent="0.3"/>
    <row r="47" spans="1:7" ht="15.75" customHeight="1" x14ac:dyDescent="0.3"/>
    <row r="48" spans="1:7"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selection activeCell="F16" sqref="F16"/>
    </sheetView>
  </sheetViews>
  <sheetFormatPr baseColWidth="10" defaultRowHeight="14.4" x14ac:dyDescent="0.3"/>
  <cols>
    <col min="4" max="4" width="21.44140625" customWidth="1"/>
    <col min="5" max="5" width="22.88671875" customWidth="1"/>
  </cols>
  <sheetData>
    <row r="1" spans="1:5" x14ac:dyDescent="0.3">
      <c r="A1" t="s">
        <v>95</v>
      </c>
      <c r="B1" t="s">
        <v>96</v>
      </c>
      <c r="C1" t="s">
        <v>5</v>
      </c>
      <c r="D1" t="s">
        <v>97</v>
      </c>
      <c r="E1" t="s">
        <v>98</v>
      </c>
    </row>
    <row r="2" spans="1:5" x14ac:dyDescent="0.3">
      <c r="A2" t="s">
        <v>10</v>
      </c>
      <c r="B2">
        <f>SUMIF([1]Ventas_limpias!C:C, A2, [1]Ventas_limpias!E:E)</f>
        <v>935000</v>
      </c>
      <c r="C2" t="s">
        <v>12</v>
      </c>
      <c r="D2">
        <f>AVERAGEIF([1]Ventas_limpias!F:F, C2, [1]Ventas_limpias!E:E)</f>
        <v>94733.333333333328</v>
      </c>
      <c r="E2">
        <f>COUNTIF([1]Ventas_limpias!E:E, "&gt;50000")</f>
        <v>17</v>
      </c>
    </row>
    <row r="3" spans="1:5" x14ac:dyDescent="0.3">
      <c r="A3" t="s">
        <v>15</v>
      </c>
      <c r="B3">
        <f>SUMIF([1]Ventas_limpias!C:C, A3, [1]Ventas_limpias!E:E)</f>
        <v>564000</v>
      </c>
      <c r="C3" t="s">
        <v>17</v>
      </c>
      <c r="D3">
        <f>AVERAGEIF([1]Ventas_limpias!F:F, C3, [1]Ventas_limpias!E:E)</f>
        <v>77600</v>
      </c>
    </row>
    <row r="4" spans="1:5" x14ac:dyDescent="0.3">
      <c r="A4" t="s">
        <v>21</v>
      </c>
      <c r="B4">
        <f>SUMIF([1]Ventas_limpias!C:C, A4, [1]Ventas_limpias!E:E)</f>
        <v>478000</v>
      </c>
    </row>
    <row r="5" spans="1:5" x14ac:dyDescent="0.3">
      <c r="A5" t="s">
        <v>25</v>
      </c>
      <c r="B5">
        <f>SUMIF([1]Ventas_limpias!C:C, A5, [1]Ventas_limpias!E:E)</f>
        <v>491000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Views>
    <sheetView workbookViewId="0">
      <selection activeCell="N20" sqref="N20"/>
    </sheetView>
  </sheetViews>
  <sheetFormatPr baseColWidth="10" defaultRowHeight="14.4" x14ac:dyDescent="0.3"/>
  <cols>
    <col min="1" max="1" width="16.5546875" bestFit="1" customWidth="1"/>
    <col min="2" max="2" width="21.44140625" bestFit="1" customWidth="1"/>
    <col min="3" max="3" width="10.109375" customWidth="1"/>
    <col min="4" max="4" width="11.88671875" bestFit="1" customWidth="1"/>
  </cols>
  <sheetData>
    <row r="1" spans="1:4" x14ac:dyDescent="0.3">
      <c r="A1" s="4" t="s">
        <v>104</v>
      </c>
      <c r="B1" t="s">
        <v>103</v>
      </c>
    </row>
    <row r="3" spans="1:4" x14ac:dyDescent="0.3">
      <c r="A3" s="4" t="s">
        <v>101</v>
      </c>
      <c r="B3" s="4" t="s">
        <v>102</v>
      </c>
    </row>
    <row r="4" spans="1:4" x14ac:dyDescent="0.3">
      <c r="A4" s="4" t="s">
        <v>99</v>
      </c>
      <c r="B4" t="s">
        <v>17</v>
      </c>
      <c r="C4" t="s">
        <v>12</v>
      </c>
      <c r="D4" t="s">
        <v>100</v>
      </c>
    </row>
    <row r="5" spans="1:4" x14ac:dyDescent="0.3">
      <c r="A5" s="5" t="s">
        <v>25</v>
      </c>
      <c r="B5" s="6">
        <v>445000</v>
      </c>
      <c r="C5" s="6">
        <v>78000</v>
      </c>
      <c r="D5" s="6">
        <v>523000</v>
      </c>
    </row>
    <row r="6" spans="1:4" x14ac:dyDescent="0.3">
      <c r="A6" s="5" t="s">
        <v>10</v>
      </c>
      <c r="B6" s="6">
        <v>185000</v>
      </c>
      <c r="C6" s="6">
        <v>750000</v>
      </c>
      <c r="D6" s="6">
        <v>935000</v>
      </c>
    </row>
    <row r="7" spans="1:4" x14ac:dyDescent="0.3">
      <c r="A7" s="5" t="s">
        <v>15</v>
      </c>
      <c r="B7" s="6">
        <v>326000</v>
      </c>
      <c r="C7" s="6">
        <v>323000</v>
      </c>
      <c r="D7" s="6">
        <v>649000</v>
      </c>
    </row>
    <row r="8" spans="1:4" x14ac:dyDescent="0.3">
      <c r="A8" s="5" t="s">
        <v>21</v>
      </c>
      <c r="B8" s="6">
        <v>208000</v>
      </c>
      <c r="C8" s="6">
        <v>270000</v>
      </c>
      <c r="D8" s="6">
        <v>478000</v>
      </c>
    </row>
    <row r="9" spans="1:4" x14ac:dyDescent="0.3">
      <c r="A9" s="5" t="s">
        <v>100</v>
      </c>
      <c r="B9" s="6">
        <v>1164000</v>
      </c>
      <c r="C9" s="6">
        <v>1421000</v>
      </c>
      <c r="D9" s="6">
        <v>2585000</v>
      </c>
    </row>
  </sheetData>
  <pageMargins left="0.7" right="0.7" top="0.75" bottom="0.75" header="0.3" footer="0.3"/>
  <pageSetup orientation="portrait" horizontalDpi="0" verticalDpi="0"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B3" sqref="B3"/>
    </sheetView>
  </sheetViews>
  <sheetFormatPr baseColWidth="10"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Ventas_limpias</vt:lpstr>
      <vt:lpstr>Análisis_Ventas</vt:lpstr>
      <vt:lpstr>Dashboard</vt:lpstr>
      <vt:lpstr>Conclusiones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Carmen Cuevas</dc:creator>
  <cp:lastModifiedBy>Carmen Cuevas</cp:lastModifiedBy>
  <dcterms:created xsi:type="dcterms:W3CDTF">2026-09-02T04:36:34Z</dcterms:created>
  <dcterms:modified xsi:type="dcterms:W3CDTF">2026-09-02T05:48:05Z</dcterms:modified>
</cp:coreProperties>
</file>